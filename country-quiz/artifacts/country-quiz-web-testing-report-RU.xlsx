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72add336f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bf4bcfeabad4568"/>
    <x:sheet xmlns:r="http://schemas.openxmlformats.org/officeDocument/2006/relationships" name="Тест-кейсы" sheetId="2" r:id="R6e1763adf51645ab"/>
    <x:sheet xmlns:r="http://schemas.openxmlformats.org/officeDocument/2006/relationships" name="Баг-репорты" sheetId="3" r:id="R9d914528193f4121"/>
    <x:sheet xmlns:r="http://schemas.openxmlformats.org/officeDocument/2006/relationships" name="Матрица трассировки" sheetId="4" r:id="R12c74321463b44aa"/>
    <x:sheet xmlns:r="http://schemas.openxmlformats.org/officeDocument/2006/relationships" name="Окружение" sheetId="5" r:id="R03f8d3d91ec148ac"/>
    <x:sheet xmlns:r="http://schemas.openxmlformats.org/officeDocument/2006/relationships" name="Примечания QA-ревью" sheetId="6" r:id="R21c349a2feb1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4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71ef43ac5424a" /><Relationship Type="http://schemas.openxmlformats.org/officeDocument/2006/relationships/theme" Target="/xl/theme/theme1.xml" Id="Rc517d31b4e2f4e7a" /><Relationship Type="http://schemas.openxmlformats.org/officeDocument/2006/relationships/sharedStrings" Target="/xl/sharedStrings.xml" Id="R186b4fe85fe441b1" /><Relationship Type="http://schemas.openxmlformats.org/officeDocument/2006/relationships/worksheet" Target="/xl/worksheets/sheet1.xml" Id="R5bf4bcfeabad4568" /><Relationship Type="http://schemas.openxmlformats.org/officeDocument/2006/relationships/worksheet" Target="/xl/worksheets/sheet2.xml" Id="R6e1763adf51645ab" /><Relationship Type="http://schemas.openxmlformats.org/officeDocument/2006/relationships/worksheet" Target="/xl/worksheets/sheet3.xml" Id="R9d914528193f4121" /><Relationship Type="http://schemas.openxmlformats.org/officeDocument/2006/relationships/worksheet" Target="/xl/worksheets/sheet4.xml" Id="R12c74321463b44aa" /><Relationship Type="http://schemas.openxmlformats.org/officeDocument/2006/relationships/worksheet" Target="/xl/worksheets/sheet5.xml" Id="R03f8d3d91ec148ac" /><Relationship Type="http://schemas.openxmlformats.org/officeDocument/2006/relationships/worksheet" Target="/xl/worksheets/sheet6.xml" Id="R21c349a2feb141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3f31f7c5e641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Статусы выполнения тестов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cat>
            <c:strRef>
              <c:f>'Сводка'!$D$6:$D$8</c:f>
              <c:strCache>
                <c:ptCount val="0"/>
              </c:strCache>
            </c:strRef>
          </c:cat>
          <c:val>
            <c:numRef>
              <c:f>'Сводка'!$E$6:$E$8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f31f7c5e641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untryQuizCasesRu" displayName="CountryQuizCasesRu" ref="A1:M14" headerRowCount="1">
  <x:tableColumns count="13">
    <x:tableColumn id="1" name="ID тест-кейса"/>
    <x:tableColumn id="2" name="Исходный ID"/>
    <x:tableColumn id="3" name="Тип"/>
    <x:tableColumn id="4" name="Название"/>
    <x:tableColumn id="5" name="Приоритет"/>
    <x:tableColumn id="6" name="Предусловия"/>
    <x:tableColumn id="7" name="Шаги"/>
    <x:tableColumn id="8" name="Тестовые данные"/>
    <x:tableColumn id="9" name="Ожидаемый результат"/>
    <x:tableColumn id="10" name="Фактический результат"/>
    <x:tableColumn id="11" name="Статус"/>
    <x:tableColumn id="12" name="Bug ID"/>
    <x:tableColumn id="13" name="Примечания"/>
  </x:tableColumns>
  <x:tableStyleInfo name="TableStyleMedium2" showRowStripes="1"/>
</x:table>
</file>

<file path=xl/tables/table2.xml><?xml version="1.0" encoding="utf-8"?>
<x:table xmlns:x="http://schemas.openxmlformats.org/spreadsheetml/2006/main" id="2" name="CountryQuizBugsRu" displayName="CountryQuizBugsRu" ref="A1:M6" headerRowCount="1">
  <x:tableColumns count="13">
    <x:tableColumn id="1" name="Bug ID"/>
    <x:tableColumn id="2" name="Заголовок"/>
    <x:tableColumn id="3" name="Раздел"/>
    <x:tableColumn id="4" name="Окружение"/>
    <x:tableColumn id="5" name="Предусловия"/>
    <x:tableColumn id="6" name="Шаги"/>
    <x:tableColumn id="7" name="Ожидаемый результат"/>
    <x:tableColumn id="8" name="Фактический результат"/>
    <x:tableColumn id="9" name="Критичность"/>
    <x:tableColumn id="10" name="Приоритет"/>
    <x:tableColumn id="11" name="Статус"/>
    <x:tableColumn id="12" name="Связанные тест-кейсы"/>
    <x:tableColumn id="13" name="Примечание"/>
  </x:tableColumns>
  <x:tableStyleInfo name="TableStyleMedium2" showRowStripes="1"/>
</x:table>
</file>

<file path=xl/tables/table3.xml><?xml version="1.0" encoding="utf-8"?>
<x:table xmlns:x="http://schemas.openxmlformats.org/spreadsheetml/2006/main" id="3" name="CountryQuizTraceabilityRu" displayName="CountryQuizTraceabilityRu" ref="A1:E9" headerRowCount="1">
  <x:tableColumns count="5">
    <x:tableColumn id="1" name="Требование / Область"/>
    <x:tableColumn id="2" name="Тест-кейсы"/>
    <x:tableColumn id="3" name="Bug ID"/>
    <x:tableColumn id="4" name="Статус"/>
    <x:tableColumn id="5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CountryQuizEnvironmentRu" displayName="CountryQuizEnvironmentRu" ref="A1:F3" headerRowCount="1">
  <x:tableColumns count="6">
    <x:tableColumn id="1" name="ID окружения"/>
    <x:tableColumn id="2" name="Браузер / Инструмент"/>
    <x:tableColumn id="3" name="Режим"/>
    <x:tableColumn id="4" name="Размер экрана"/>
    <x:tableColumn id="5" name="ОС / Версия"/>
    <x:tableColumn id="6" name="Область проверки"/>
  </x:tableColumns>
  <x:tableStyleInfo name="TableStyleMedium2" showRowStripes="1"/>
</x:table>
</file>

<file path=xl/tables/table5.xml><?xml version="1.0" encoding="utf-8"?>
<x:table xmlns:x="http://schemas.openxmlformats.org/spreadsheetml/2006/main" id="5" name="CountryQuizReviewRu" displayName="CountryQuizReviewRu" ref="A1:D8" headerRowCount="1">
  <x:tableColumns count="4">
    <x:tableColumn id="1" name="№"/>
    <x:tableColumn id="2" name="Что исправлено"/>
    <x:tableColumn id="3" name="Причина"/>
    <x:tableColumn id="4" name="Результат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ddf9afda5f45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57ce491a4843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5797002b8243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45bc07608f4b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73bb38626b44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6af3b74c4f4041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64" t="str">
        <x:v>Тестирование веб-квиза «Подобрать страну»</x:v>
      </x:c>
      <x:c r="B1" s="64"/>
      <x:c r="C1" s="64"/>
      <x:c r="D1" s="64"/>
      <x:c r="E1" s="64"/>
      <x:c r="F1" s="64"/>
      <x:c r="G1" s="64"/>
      <x:c r="H1" s="64"/>
      <x:c r="I1" s="64"/>
      <x:c r="J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</x:row>
    <x:row r="3">
      <x:c r="A3" s="65" t="str">
        <x:v>Очищенный публичный отчёт для QA-портфолио</x:v>
      </x:c>
      <x:c r="B3" s="65"/>
      <x:c r="C3" s="65"/>
      <x:c r="D3" s="65"/>
      <x:c r="E3" s="65"/>
      <x:c r="F3" s="65"/>
      <x:c r="G3" s="65"/>
      <x:c r="H3" s="65"/>
      <x:c r="I3" s="65"/>
      <x:c r="J3" s="65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</x:row>
    <x:row r="5">
      <x:c r="A5" s="26" t="str">
        <x:v>Метрика</x:v>
      </x:c>
      <x:c r="B5" s="27" t="str">
        <x:v>Значение</x:v>
      </x:c>
      <x:c r="C5" s="44"/>
      <x:c r="D5" s="26" t="str">
        <x:v>Статус выполнения</x:v>
      </x:c>
      <x:c r="E5" s="27" t="str">
        <x:v>Количество</x:v>
      </x:c>
      <x:c r="F5" s="44"/>
      <x:c r="G5" s="44"/>
      <x:c r="H5" s="44"/>
      <x:c r="I5" s="44"/>
      <x:c r="J5" s="44"/>
    </x:row>
    <x:row r="6">
      <x:c r="A6" s="66" t="str">
        <x:v>Всего тест-кейсов</x:v>
      </x:c>
      <x:c r="B6" s="52" t="n">
        <x:f>COUNTA('Тест-кейсы'!A2:A14)</x:f>
        <x:v>13</x:v>
      </x:c>
      <x:c r="C6" s="44"/>
      <x:c r="D6" s="66" t="str">
        <x:v>Пройден</x:v>
      </x:c>
      <x:c r="E6" s="52" t="n">
        <x:f>COUNTIF('Тест-кейсы'!K2:K14,"Пройден")</x:f>
        <x:v>1</x:v>
      </x:c>
      <x:c r="F6" s="44"/>
      <x:c r="G6" s="44"/>
      <x:c r="H6" s="44"/>
      <x:c r="I6" s="44"/>
      <x:c r="J6" s="44"/>
    </x:row>
    <x:row r="7">
      <x:c r="A7" s="66" t="str">
        <x:v>Пройдено</x:v>
      </x:c>
      <x:c r="B7" s="52" t="n">
        <x:f>COUNTIF('Тест-кейсы'!K2:K14,"Пройден")</x:f>
        <x:v>1</x:v>
      </x:c>
      <x:c r="C7" s="44"/>
      <x:c r="D7" s="66" t="str">
        <x:v>Пройден с примечанием</x:v>
      </x:c>
      <x:c r="E7" s="52" t="n">
        <x:f>COUNTIF('Тест-кейсы'!K2:K14,"Пройден с примечанием")</x:f>
        <x:v>2</x:v>
      </x:c>
      <x:c r="F7" s="44"/>
      <x:c r="G7" s="44"/>
      <x:c r="H7" s="44"/>
      <x:c r="I7" s="44"/>
      <x:c r="J7" s="44"/>
    </x:row>
    <x:row r="8">
      <x:c r="A8" s="66" t="str">
        <x:v>Пройдено с примечанием</x:v>
      </x:c>
      <x:c r="B8" s="52" t="n">
        <x:f>COUNTIF('Тест-кейсы'!K2:K14,"Пройден с примечанием")</x:f>
        <x:v>2</x:v>
      </x:c>
      <x:c r="C8" s="44"/>
      <x:c r="D8" s="67" t="str">
        <x:v>Не пройден</x:v>
      </x:c>
      <x:c r="E8" s="55" t="n">
        <x:f>COUNTIF('Тест-кейсы'!K2:K14,"Не пройден")</x:f>
        <x:v>10</x:v>
      </x:c>
      <x:c r="F8" s="44"/>
      <x:c r="G8" s="44"/>
      <x:c r="H8" s="44"/>
      <x:c r="I8" s="44"/>
      <x:c r="J8" s="44"/>
    </x:row>
    <x:row r="9">
      <x:c r="A9" s="66" t="str">
        <x:v>Не пройдено</x:v>
      </x:c>
      <x:c r="B9" s="52" t="n">
        <x:f>COUNTIF('Тест-кейсы'!K2:K14,"Не пройден")</x:f>
        <x:v>10</x:v>
      </x:c>
      <x:c r="C9" s="44"/>
      <x:c r="D9" s="44"/>
      <x:c r="E9" s="44"/>
      <x:c r="F9" s="44"/>
      <x:c r="G9" s="44"/>
      <x:c r="H9" s="44"/>
      <x:c r="I9" s="44"/>
      <x:c r="J9" s="44"/>
    </x:row>
    <x:row r="10">
      <x:c r="A10" s="66" t="str">
        <x:v>Уникальных багов</x:v>
      </x:c>
      <x:c r="B10" s="52" t="n">
        <x:f>COUNTA('Баг-репорты'!A2:A6)</x:f>
        <x:v>5</x:v>
      </x:c>
      <x:c r="C10" s="44"/>
      <x:c r="D10" s="44"/>
      <x:c r="E10" s="44"/>
      <x:c r="F10" s="44"/>
      <x:c r="G10" s="44"/>
      <x:c r="H10" s="44"/>
      <x:c r="I10" s="44"/>
      <x:c r="J10" s="44"/>
    </x:row>
    <x:row r="11">
      <x:c r="A11" s="67" t="str">
        <x:v>Сценариев с дефектом рекомендаций</x:v>
      </x:c>
      <x:c r="B11" s="55" t="n">
        <x:f>COUNTIF('Тест-кейсы'!L2:L14,"CQ-BUG-002")</x:f>
        <x:v>6</x:v>
      </x:c>
      <x:c r="C11" s="44"/>
      <x:c r="D11" s="44"/>
      <x:c r="E11" s="44"/>
      <x:c r="F11" s="44"/>
      <x:c r="G11" s="44"/>
      <x:c r="H11" s="44"/>
      <x:c r="I11" s="44"/>
      <x:c r="J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>
      <x:c r="A13" s="68" t="str">
        <x:v>Область тестирования</x:v>
      </x:c>
      <x:c r="B13" s="68"/>
      <x:c r="C13" s="68"/>
      <x:c r="D13" s="68"/>
      <x:c r="E13" s="68"/>
      <x:c r="F13" s="68"/>
      <x:c r="G13" s="68"/>
      <x:c r="H13" s="68"/>
      <x:c r="I13" s="68"/>
      <x:c r="J13" s="68"/>
    </x:row>
    <x:row r="14">
      <x:c r="A14" s="48" t="str">
        <x:v>Покрытие</x:v>
      </x:c>
      <x:c r="B14" s="49" t="str">
        <x:v>Отображение квиза, логика рекомендаций, граничные комбинации, отправка формы, клавиатурная навигация, адаптивность, hover-эффекты и выбор ответов</x:v>
      </x:c>
      <x:c r="C14" s="49"/>
      <x:c r="D14" s="49"/>
      <x:c r="E14" s="49"/>
      <x:c r="F14" s="49"/>
      <x:c r="G14" s="49"/>
      <x:c r="H14" s="49"/>
      <x:c r="I14" s="49"/>
      <x:c r="J14" s="50"/>
    </x:row>
    <x:row r="15">
      <x:c r="A15" s="51" t="str">
        <x:v>Типы проверок</x:v>
      </x:c>
      <x:c r="B15" s="44" t="str">
        <x:v>Функциональные, UI, UX, адаптивные, негативные, accessibility-ориентированные и регрессионные проверки</x:v>
      </x:c>
      <x:c r="C15" s="44"/>
      <x:c r="D15" s="44"/>
      <x:c r="E15" s="44"/>
      <x:c r="F15" s="44"/>
      <x:c r="G15" s="44"/>
      <x:c r="H15" s="44"/>
      <x:c r="I15" s="44"/>
      <x:c r="J15" s="52"/>
    </x:row>
    <x:row r="16">
      <x:c r="A16" s="51" t="str">
        <x:v>Инструменты</x:v>
      </x:c>
      <x:c r="B16" s="44" t="str">
        <x:v>Google Chrome и режим адаптивного экрана Chrome DevTools</x:v>
      </x:c>
      <x:c r="C16" s="44"/>
      <x:c r="D16" s="44"/>
      <x:c r="E16" s="44"/>
      <x:c r="F16" s="44"/>
      <x:c r="G16" s="44"/>
      <x:c r="H16" s="44"/>
      <x:c r="I16" s="44"/>
      <x:c r="J16" s="52"/>
    </x:row>
    <x:row r="17">
      <x:c r="A17" s="53" t="str">
        <x:v>Источник</x:v>
      </x:c>
      <x:c r="B17" s="54" t="str">
        <x:v>Учебная страница квиза, указанная в исходной таблице</x:v>
      </x:c>
      <x:c r="C17" s="54"/>
      <x:c r="D17" s="54"/>
      <x:c r="E17" s="54"/>
      <x:c r="F17" s="54"/>
      <x:c r="G17" s="54"/>
      <x:c r="H17" s="54"/>
      <x:c r="I17" s="54"/>
      <x:c r="J17" s="55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</x:row>
    <x:row r="19">
      <x:c r="A19" s="68" t="str">
        <x:v>Примечания по качеству данных</x:v>
      </x:c>
      <x:c r="B19" s="68"/>
      <x:c r="C19" s="68"/>
      <x:c r="D19" s="68"/>
      <x:c r="E19" s="68"/>
      <x:c r="F19" s="68"/>
      <x:c r="G19" s="68"/>
      <x:c r="H19" s="68"/>
      <x:c r="I19" s="68"/>
      <x:c r="J19" s="68"/>
    </x:row>
    <x:row r="20">
      <x:c r="A20" s="44" t="str">
        <x:v>• Сохранены все 13 исходных тест-кейсов; исходные ID указаны для трассировки.</x:v>
      </x:c>
      <x:c r="B20" s="44"/>
      <x:c r="C20" s="44"/>
      <x:c r="D20" s="44"/>
      <x:c r="E20" s="44"/>
      <x:c r="F20" s="44"/>
      <x:c r="G20" s="44"/>
      <x:c r="H20" s="44"/>
      <x:c r="I20" s="44"/>
      <x:c r="J20" s="44"/>
    </x:row>
    <x:row r="21">
      <x:c r="A21" s="44" t="str">
        <x:v>• Шесть повторяющихся багов логики рекомендаций объединены в один корневой дефект.</x:v>
      </x:c>
      <x:c r="B21" s="44"/>
      <x:c r="C21" s="44"/>
      <x:c r="D21" s="44"/>
      <x:c r="E21" s="44"/>
      <x:c r="F21" s="44"/>
      <x:c r="G21" s="44"/>
      <x:c r="H21" s="44"/>
      <x:c r="I21" s="44"/>
      <x:c r="J21" s="44"/>
    </x:row>
    <x:row r="22">
      <x:c r="A22" s="44" t="str">
        <x:v>• Статус hover-теста исправлен с Passed на «Не пройден», так как фактический результат описывал ошибку.</x:v>
      </x:c>
      <x:c r="B22" s="44"/>
      <x:c r="C22" s="44"/>
      <x:c r="D22" s="44"/>
      <x:c r="E22" s="44"/>
      <x:c r="F22" s="44"/>
      <x:c r="G22" s="44"/>
      <x:c r="H22" s="44"/>
      <x:c r="I22" s="44"/>
      <x:c r="J22" s="44"/>
    </x:row>
    <x:row r="23">
      <x:c r="A23" s="44" t="str">
        <x:v>• Критичность дефектов рекомендаций снижена с Critical до «Значительный», так как падение или потеря данных не зафиксированы.</x:v>
      </x:c>
      <x:c r="B23" s="44"/>
      <x:c r="C23" s="44"/>
      <x:c r="D23" s="44"/>
      <x:c r="E23" s="44"/>
      <x:c r="F23" s="44"/>
      <x:c r="G23" s="44"/>
      <x:c r="H23" s="44"/>
      <x:c r="I23" s="44"/>
      <x:c r="J23" s="44"/>
    </x:row>
    <x:row r="24">
      <x:c r="A24" s="44" t="str">
        <x:v>• Встроенные изображения исходника не опубликованы, поскольку их безопасность и контекст публикации не подтверждены.</x:v>
      </x:c>
      <x:c r="B24" s="44"/>
      <x:c r="C24" s="44"/>
      <x:c r="D24" s="44"/>
      <x:c r="E24" s="44"/>
      <x:c r="F24" s="44"/>
      <x:c r="G24" s="44"/>
      <x:c r="H24" s="44"/>
      <x:c r="I24" s="44"/>
      <x:c r="J24" s="44"/>
    </x:row>
  </x:sheetData>
  <x:mergeCells>
    <x:mergeCell ref="A1:J2"/>
    <x:mergeCell ref="A3:J3"/>
    <x:mergeCell ref="A13:J13"/>
    <x:mergeCell ref="B14:J14"/>
    <x:mergeCell ref="B15:J15"/>
    <x:mergeCell ref="B16:J16"/>
    <x:mergeCell ref="B17:J17"/>
    <x:mergeCell ref="A19:J19"/>
    <x:mergeCell ref="A20:J20"/>
    <x:mergeCell ref="A21:J21"/>
    <x:mergeCell ref="A22:J22"/>
    <x:mergeCell ref="A23:J23"/>
    <x:mergeCell ref="A24:J24"/>
  </x:mergeCells>
  <x:pageMargins left="0.7" right="0.7" top="0.75" bottom="0.75" header="0.3" footer="0.3"/>
  <x:drawing xmlns:r="http://schemas.openxmlformats.org/officeDocument/2006/relationships" r:id="Rc2ddf9afda5f4566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20" hidden="0" customWidth="1"/>
    <x:col min="4" max="4" width="38" hidden="0" customWidth="1"/>
    <x:col min="5" max="5" width="13" hidden="0" customWidth="1"/>
    <x:col min="6" max="6" width="32" hidden="0" customWidth="1"/>
    <x:col min="7" max="7" width="45" hidden="0" customWidth="1"/>
    <x:col min="8" max="8" width="28" hidden="0" customWidth="1"/>
    <x:col min="9" max="9" width="42" hidden="0" customWidth="1"/>
    <x:col min="10" max="10" width="42" hidden="0" customWidth="1"/>
    <x:col min="11" max="11" width="22" hidden="0" customWidth="1"/>
    <x:col min="12" max="12" width="15" hidden="0" customWidth="1"/>
    <x:col min="13" max="13" width="42" hidden="0" customWidth="1"/>
  </x:cols>
  <x:sheetData>
    <x:row r="1">
      <x:c r="A1" s="26" t="str">
        <x:v>ID тест-кейса</x:v>
      </x:c>
      <x:c r="B1" s="74" t="str">
        <x:v>Исходный ID</x:v>
      </x:c>
      <x:c r="C1" s="74" t="str">
        <x:v>Тип</x:v>
      </x:c>
      <x:c r="D1" s="74" t="str">
        <x:v>Название</x:v>
      </x:c>
      <x:c r="E1" s="74" t="str">
        <x:v>Приоритет</x:v>
      </x:c>
      <x:c r="F1" s="74" t="str">
        <x:v>Предусловия</x:v>
      </x:c>
      <x:c r="G1" s="74" t="str">
        <x:v>Шаги</x:v>
      </x:c>
      <x:c r="H1" s="74" t="str">
        <x:v>Тестовые данные</x:v>
      </x:c>
      <x:c r="I1" s="74" t="str">
        <x:v>Ожидаемый результат</x:v>
      </x:c>
      <x:c r="J1" s="74" t="str">
        <x:v>Фактический результат</x:v>
      </x:c>
      <x:c r="K1" s="74" t="str">
        <x:v>Статус</x:v>
      </x:c>
      <x:c r="L1" s="74" t="str">
        <x:v>Bug ID</x:v>
      </x:c>
      <x:c r="M1" s="27" t="str">
        <x:v>Примечания</x:v>
      </x:c>
    </x:row>
    <x:row r="2">
      <x:c r="A2" s="66" t="str">
        <x:v>CQ-TC-001</x:v>
      </x:c>
      <x:c r="B2" s="44" t="str">
        <x:v>1</x:v>
      </x:c>
      <x:c r="C2" s="44" t="str">
        <x:v>UI</x:v>
      </x:c>
      <x:c r="D2" s="44" t="str">
        <x:v>Проверка корректного отображения квиза</x:v>
      </x:c>
      <x:c r="E2" s="44" t="str">
        <x:v>Средний</x:v>
      </x:c>
      <x:c r="F2" s="44" t="str">
        <x:v>Страница квиза открыта в Google Chrome при ширине 1024 px</x:v>
      </x:c>
      <x:c r="G2" s="44" t="str">
        <x:v>1. Открыть страницу квиза
2. Проверить заголовок, вопросы, варианты ответов и кнопку отправки</x:v>
      </x:c>
      <x:c r="H2" s="44" t="str">
        <x:v>Ширина экрана: 1024 px</x:v>
      </x:c>
      <x:c r="I2" s="44" t="str">
        <x:v>Квиз отображается без визуальных искажений; текст читаемый и не содержит орфографических ошибок.</x:v>
      </x:c>
      <x:c r="J2" s="44" t="str">
        <x:v>Квиз отображается, но в заголовке есть опечатка: «ПодАбрать страну».</x:v>
      </x:c>
      <x:c r="K2" s="44" t="str">
        <x:v>Не пройден</x:v>
      </x:c>
      <x:c r="L2" s="44" t="str">
        <x:v>CQ-BUG-001</x:v>
      </x:c>
      <x:c r="M2" s="52" t="str"/>
    </x:row>
    <x:row r="3">
      <x:c r="A3" s="66" t="str">
        <x:v>CQ-TC-002</x:v>
      </x:c>
      <x:c r="B3" s="44" t="str">
        <x:v>2</x:v>
      </x:c>
      <x:c r="C3" s="44" t="str">
        <x:v>Функциональный</x:v>
      </x:c>
      <x:c r="D3" s="44" t="str">
        <x:v>Рекомендация: IT / доход до 2 000 € / море — Да</x:v>
      </x:c>
      <x:c r="E3" s="44" t="str">
        <x:v>Высокий</x:v>
      </x:c>
      <x:c r="F3" s="44" t="str">
        <x:v>Страница квиза открыта</x:v>
      </x:c>
      <x:c r="G3" s="44" t="str">
        <x:v>1. Выбрать «Да» в вопросе об IT
2. Выбрать доход «До 2 тыс. евро»
3. Выбрать «Да» в вопросе о море
4. Отправить квиз</x:v>
      </x:c>
      <x:c r="H3" s="44" t="str">
        <x:v>Да / До 2 тыс. евро / Да</x:v>
      </x:c>
      <x:c r="I3" s="44" t="str">
        <x:v>Рекомендуются Испания, Португалия и Польша.</x:v>
      </x:c>
      <x:c r="J3" s="44" t="str">
        <x:v>Отображаются Португалия, Польша и Лондон. Лондон — город, а не страна.</x:v>
      </x:c>
      <x:c r="K3" s="44" t="str">
        <x:v>Не пройден</x:v>
      </x:c>
      <x:c r="L3" s="44" t="str">
        <x:v>CQ-BUG-002</x:v>
      </x:c>
      <x:c r="M3" s="52" t="str">
        <x:v>Комбинация 1 из исходного файла</x:v>
      </x:c>
    </x:row>
    <x:row r="4">
      <x:c r="A4" s="66" t="str">
        <x:v>CQ-TC-003</x:v>
      </x:c>
      <x:c r="B4" s="44" t="str">
        <x:v>3</x:v>
      </x:c>
      <x:c r="C4" s="44" t="str">
        <x:v>Функциональный</x:v>
      </x:c>
      <x:c r="D4" s="44" t="str">
        <x:v>Рекомендация: не IT / доход более 3 000 € / море — Нет</x:v>
      </x:c>
      <x:c r="E4" s="44" t="str">
        <x:v>Высокий</x:v>
      </x:c>
      <x:c r="F4" s="44" t="str">
        <x:v>Страница квиза открыта</x:v>
      </x:c>
      <x:c r="G4" s="44" t="str">
        <x:v>1. Выбрать «Нет» в вопросе об IT
2. Выбрать доход «Более 3 тыс. евро»
3. Выбрать «Нет» в вопросе о море
4. Отправить квиз</x:v>
      </x:c>
      <x:c r="H4" s="44" t="str">
        <x:v>Нет / Более 3 тыс. евро / Нет</x:v>
      </x:c>
      <x:c r="I4" s="44" t="str">
        <x:v>Рекомендуются Испания, Португалия и Польша.</x:v>
      </x:c>
      <x:c r="J4" s="44" t="str">
        <x:v>Отображаются Португалия, Польша и Лондон. Результат не соответствует выбранным ответам.</x:v>
      </x:c>
      <x:c r="K4" s="44" t="str">
        <x:v>Не пройден</x:v>
      </x:c>
      <x:c r="L4" s="44" t="str">
        <x:v>CQ-BUG-002</x:v>
      </x:c>
      <x:c r="M4" s="52" t="str">
        <x:v>Комбинация 2 из исходного файла</x:v>
      </x:c>
    </x:row>
    <x:row r="5">
      <x:c r="A5" s="66" t="str">
        <x:v>CQ-TC-004</x:v>
      </x:c>
      <x:c r="B5" s="44" t="str">
        <x:v>4</x:v>
      </x:c>
      <x:c r="C5" s="44" t="str">
        <x:v>Граничный сценарий</x:v>
      </x:c>
      <x:c r="D5" s="44" t="str">
        <x:v>Рекомендация: не IT / доход до 2 000 € / море — Нет</x:v>
      </x:c>
      <x:c r="E5" s="44" t="str">
        <x:v>Высокий</x:v>
      </x:c>
      <x:c r="F5" s="44" t="str">
        <x:v>Страница квиза открыта</x:v>
      </x:c>
      <x:c r="G5" s="44" t="str">
        <x:v>1. Выбрать «Нет» в вопросе об IT
2. Выбрать доход «До 2 тыс. евро»
3. Выбрать «Нет» в вопросе о море
4. Отправить квиз</x:v>
      </x:c>
      <x:c r="H5" s="44" t="str">
        <x:v>Нет / До 2 тыс. евро / Нет</x:v>
      </x:c>
      <x:c r="I5" s="44" t="str">
        <x:v>Рекомендуется Португалия с предусмотренной поясняющей подписью.</x:v>
      </x:c>
      <x:c r="J5" s="44" t="str">
        <x:v>Отображаются Португалия и Лондон. Лондон не является страной, ожидаемая подпись отсутствует.</x:v>
      </x:c>
      <x:c r="K5" s="44" t="str">
        <x:v>Не пройден</x:v>
      </x:c>
      <x:c r="L5" s="44" t="str">
        <x:v>CQ-BUG-002</x:v>
      </x:c>
      <x:c r="M5" s="52" t="str">
        <x:v>Граничная комбинация из исходного файла</x:v>
      </x:c>
    </x:row>
    <x:row r="6">
      <x:c r="A6" s="66" t="str">
        <x:v>CQ-TC-005</x:v>
      </x:c>
      <x:c r="B6" s="44" t="str">
        <x:v>6</x:v>
      </x:c>
      <x:c r="C6" s="44" t="str">
        <x:v>Адаптивность</x:v>
      </x:c>
      <x:c r="D6" s="44" t="str">
        <x:v>Проверка квиза при ширине экрана 320 px</x:v>
      </x:c>
      <x:c r="E6" s="44" t="str">
        <x:v>Средний</x:v>
      </x:c>
      <x:c r="F6" s="44" t="str">
        <x:v>В Chrome DevTools включён режим адаптивного экрана</x:v>
      </x:c>
      <x:c r="G6" s="44" t="str">
        <x:v>1. Установить ширину экрана 320 px
2. Открыть квиз
3. Пройти квиз
4. Проверить расположение и читаемость элементов</x:v>
      </x:c>
      <x:c r="H6" s="44" t="str">
        <x:v>Ширина экрана: 320 px</x:v>
      </x:c>
      <x:c r="I6" s="44" t="str">
        <x:v>Все элементы помещаются в область просмотра, остаются читаемыми и доступными для взаимодействия.</x:v>
      </x:c>
      <x:c r="J6" s="44" t="str">
        <x:v>Плашки с вариантами ответов и элементы формы выходят за границы области просмотра.</x:v>
      </x:c>
      <x:c r="K6" s="44" t="str">
        <x:v>Не пройден</x:v>
      </x:c>
      <x:c r="L6" s="44" t="str">
        <x:v>CQ-BUG-003</x:v>
      </x:c>
      <x:c r="M6" s="52" t="str"/>
    </x:row>
    <x:row r="7">
      <x:c r="A7" s="66" t="str">
        <x:v>CQ-TC-006</x:v>
      </x:c>
      <x:c r="B7" s="44" t="str">
        <x:v>7</x:v>
      </x:c>
      <x:c r="C7" s="44" t="str">
        <x:v>Доступность / UX</x:v>
      </x:c>
      <x:c r="D7" s="44" t="str">
        <x:v>Навигация по квизу с помощью Tab и Enter</x:v>
      </x:c>
      <x:c r="E7" s="44" t="str">
        <x:v>Средний</x:v>
      </x:c>
      <x:c r="F7" s="44" t="str">
        <x:v>Страница квиза открыта</x:v>
      </x:c>
      <x:c r="G7" s="44" t="str">
        <x:v>1. Использовать Tab для перехода между интерактивными элементами
2. Использовать Enter или Space для выбора ответов
3. Перейти к кнопке отправки</x:v>
      </x:c>
      <x:c r="H7" s="44" t="str">
        <x:v>Клавиатура</x:v>
      </x:c>
      <x:c r="I7" s="44" t="str">
        <x:v>Фокус перемещается в логичном порядке; все необходимые элементы доступны с клавиатуры.</x:v>
      </x:c>
      <x:c r="J7" s="44" t="str">
        <x:v>Навигация с клавиатуры работает. Для части интерактивных элементов отсутствует ожидаемая обратная связь при наведении курсора.</x:v>
      </x:c>
      <x:c r="K7" s="44" t="str">
        <x:v>Пройден с примечанием</x:v>
      </x:c>
      <x:c r="L7" s="44" t="str">
        <x:v>CQ-BUG-004</x:v>
      </x:c>
      <x:c r="M7" s="52" t="str">
        <x:v>Клавиатурный сценарий пройден; проблема hover вынесена в отдельный баг.</x:v>
      </x:c>
    </x:row>
    <x:row r="8">
      <x:c r="A8" s="66" t="str">
        <x:v>CQ-TC-007</x:v>
      </x:c>
      <x:c r="B8" s="44" t="str">
        <x:v>8</x:v>
      </x:c>
      <x:c r="C8" s="44" t="str">
        <x:v>Функциональный</x:v>
      </x:c>
      <x:c r="D8" s="44" t="str">
        <x:v>Успешная отправка заполненного квиза</x:v>
      </x:c>
      <x:c r="E8" s="44" t="str">
        <x:v>Высокий</x:v>
      </x:c>
      <x:c r="F8" s="44" t="str">
        <x:v>Выбраны ответы на все обязательные вопросы</x:v>
      </x:c>
      <x:c r="G8" s="44" t="str">
        <x:v>1. Выбрать валидный ответ в каждом вопросе
2. Нажать кнопку отправки</x:v>
      </x:c>
      <x:c r="H8" s="44" t="str">
        <x:v>Валидный набор ответов</x:v>
      </x:c>
      <x:c r="I8" s="44" t="str">
        <x:v>Квиз отправляется, пользователю отображается результат с рекомендацией.</x:v>
      </x:c>
      <x:c r="J8" s="44" t="str">
        <x:v>После отправки отображается результат.</x:v>
      </x:c>
      <x:c r="K8" s="44" t="str">
        <x:v>Пройден</x:v>
      </x:c>
      <x:c r="L8" s="44" t="str"/>
      <x:c r="M8" s="52" t="str"/>
    </x:row>
    <x:row r="9">
      <x:c r="A9" s="66" t="str">
        <x:v>CQ-TC-008</x:v>
      </x:c>
      <x:c r="B9" s="44" t="str">
        <x:v>9</x:v>
      </x:c>
      <x:c r="C9" s="44" t="str">
        <x:v>Функциональный</x:v>
      </x:c>
      <x:c r="D9" s="44" t="str">
        <x:v>Рекомендация: IT / доход 2 000–3 000 € / море — Нет</x:v>
      </x:c>
      <x:c r="E9" s="44" t="str">
        <x:v>Высокий</x:v>
      </x:c>
      <x:c r="F9" s="44" t="str">
        <x:v>Страница квиза открыта</x:v>
      </x:c>
      <x:c r="G9" s="44" t="str">
        <x:v>1. Выбрать «Да» в вопросе об IT
2. Выбрать доход «От 2 до 3 тыс. евро»
3. Выбрать «Нет» в вопросе о море
4. Отправить квиз</x:v>
      </x:c>
      <x:c r="H9" s="44" t="str">
        <x:v>Да / 2–3 тыс. евро / Нет</x:v>
      </x:c>
      <x:c r="I9" s="44" t="str">
        <x:v>Рекомендуются Венгрия и Польша.</x:v>
      </x:c>
      <x:c r="J9" s="44" t="str">
        <x:v>Отображаются Португалия и Лондон. Результат не соответствует выбранным ответам.</x:v>
      </x:c>
      <x:c r="K9" s="44" t="str">
        <x:v>Не пройден</x:v>
      </x:c>
      <x:c r="L9" s="44" t="str">
        <x:v>CQ-BUG-002</x:v>
      </x:c>
      <x:c r="M9" s="52" t="str">
        <x:v>Комбинация 3 из исходного файла</x:v>
      </x:c>
    </x:row>
    <x:row r="10">
      <x:c r="A10" s="66" t="str">
        <x:v>CQ-TC-009</x:v>
      </x:c>
      <x:c r="B10" s="44" t="str">
        <x:v>10</x:v>
      </x:c>
      <x:c r="C10" s="44" t="str">
        <x:v>UI / UX</x:v>
      </x:c>
      <x:c r="D10" s="44" t="str">
        <x:v>Проверка hover-эффектов интерактивных элементов</x:v>
      </x:c>
      <x:c r="E10" s="44" t="str">
        <x:v>Средний</x:v>
      </x:c>
      <x:c r="F10" s="44" t="str">
        <x:v>Страница квиза открыта на десктопе</x:v>
      </x:c>
      <x:c r="G10" s="44" t="str">
        <x:v>1. Навести курсор на варианты ответов
2. Навести курсор на кнопку отправки
3. Проверить изменение курсора и визуального состояния</x:v>
      </x:c>
      <x:c r="H10" s="44" t="str">
        <x:v>Наведение курсора</x:v>
      </x:c>
      <x:c r="I10" s="44" t="str">
        <x:v>Интерактивные элементы отображают предусмотренный hover-эффект; кнопка изменяет цвет согласно требованиям.</x:v>
      </x:c>
      <x:c r="J10" s="44" t="str">
        <x:v>Цвет кнопки не меняется; визуальная обратная связь при наведении реализована не полностью.</x:v>
      </x:c>
      <x:c r="K10" s="44" t="str">
        <x:v>Не пройден</x:v>
      </x:c>
      <x:c r="L10" s="44" t="str">
        <x:v>CQ-BUG-004</x:v>
      </x:c>
      <x:c r="M10" s="52" t="str">
        <x:v>В исходнике стоял Passed, хотя фактический результат описывал ошибку.</x:v>
      </x:c>
    </x:row>
    <x:row r="11">
      <x:c r="A11" s="66" t="str">
        <x:v>CQ-TC-010</x:v>
      </x:c>
      <x:c r="B11" s="44" t="str">
        <x:v>11</x:v>
      </x:c>
      <x:c r="C11" s="44" t="str">
        <x:v>Граничный сценарий</x:v>
      </x:c>
      <x:c r="D11" s="44" t="str">
        <x:v>Рекомендация: IT / доход более 3 000 € / море — Да</x:v>
      </x:c>
      <x:c r="E11" s="44" t="str">
        <x:v>Высокий</x:v>
      </x:c>
      <x:c r="F11" s="44" t="str">
        <x:v>Страница квиза открыта</x:v>
      </x:c>
      <x:c r="G11" s="44" t="str">
        <x:v>1. Выбрать «Да» в вопросе об IT
2. Выбрать доход «Более 3 тыс. евро»
3. Выбрать «Да» в вопросе о море
4. Отправить квиз</x:v>
      </x:c>
      <x:c r="H11" s="44" t="str">
        <x:v>Да / Более 3 тыс. евро / Да</x:v>
      </x:c>
      <x:c r="I11" s="44" t="str">
        <x:v>Рекомендуются Испания, Португалия, Венгрия и Польша.</x:v>
      </x:c>
      <x:c r="J11" s="44" t="str">
        <x:v>Отображаются Португалия и Лондон. Результат не соответствует выбранным ответам.</x:v>
      </x:c>
      <x:c r="K11" s="44" t="str">
        <x:v>Не пройден</x:v>
      </x:c>
      <x:c r="L11" s="44" t="str">
        <x:v>CQ-BUG-002</x:v>
      </x:c>
      <x:c r="M11" s="52" t="str">
        <x:v>Полная комбинация из исходного файла</x:v>
      </x:c>
    </x:row>
    <x:row r="12">
      <x:c r="A12" s="66" t="str">
        <x:v>CQ-TC-011</x:v>
      </x:c>
      <x:c r="B12" s="44" t="str">
        <x:v>13</x:v>
      </x:c>
      <x:c r="C12" s="44" t="str">
        <x:v>Регрессия / Навигация</x:v>
      </x:c>
      <x:c r="D12" s="44" t="str">
        <x:v>Открытие квиза из главного меню</x:v>
      </x:c>
      <x:c r="E12" s="44" t="str">
        <x:v>Высокий</x:v>
      </x:c>
      <x:c r="F12" s="44" t="str">
        <x:v>Открыта главная страница сайта</x:v>
      </x:c>
      <x:c r="G12" s="44" t="str">
        <x:v>1. Нажать пункт «Подобрать страну» в главном меню
2. Дождаться загрузки страницы
3. Проверить доступность квиза</x:v>
      </x:c>
      <x:c r="H12" s="44" t="str">
        <x:v>Главное меню</x:v>
      </x:c>
      <x:c r="I12" s="44" t="str">
        <x:v>Страница квиза открывается без ошибок; квиз доступен для прохождения.</x:v>
      </x:c>
      <x:c r="J12" s="44" t="str">
        <x:v>Страница открывается, квиз доступен. В меню замечен дополнительный пункт, но требования к составу меню не зафиксированы.</x:v>
      </x:c>
      <x:c r="K12" s="44" t="str">
        <x:v>Пройден с примечанием</x:v>
      </x:c>
      <x:c r="L12" s="44" t="str"/>
      <x:c r="M12" s="52" t="str">
        <x:v>Навигация работает; состав меню требует отдельного подтверждённого требования.</x:v>
      </x:c>
    </x:row>
    <x:row r="13">
      <x:c r="A13" s="66" t="str">
        <x:v>CQ-TC-012</x:v>
      </x:c>
      <x:c r="B13" s="44" t="str">
        <x:v>15</x:v>
      </x:c>
      <x:c r="C13" s="44" t="str">
        <x:v>Функциональный</x:v>
      </x:c>
      <x:c r="D13" s="44" t="str">
        <x:v>Рекомендация: не IT / доход 2 000–3 000 € / море — Да</x:v>
      </x:c>
      <x:c r="E13" s="44" t="str">
        <x:v>Высокий</x:v>
      </x:c>
      <x:c r="F13" s="44" t="str">
        <x:v>Страница квиза открыта</x:v>
      </x:c>
      <x:c r="G13" s="44" t="str">
        <x:v>1. Выбрать «Нет» в вопросе об IT
2. Выбрать доход «От 2 до 3 тыс. евро»
3. Выбрать «Да» в вопросе о море
4. Отправить квиз</x:v>
      </x:c>
      <x:c r="H13" s="44" t="str">
        <x:v>Нет / 2–3 тыс. евро / Да</x:v>
      </x:c>
      <x:c r="I13" s="44" t="str">
        <x:v>Рекомендуются Испания, Португалия и Польша.</x:v>
      </x:c>
      <x:c r="J13" s="44" t="str">
        <x:v>Отображаются Португалия и Лондон. Результат не соответствует выбранным ответам.</x:v>
      </x:c>
      <x:c r="K13" s="44" t="str">
        <x:v>Не пройден</x:v>
      </x:c>
      <x:c r="L13" s="44" t="str">
        <x:v>CQ-BUG-002</x:v>
      </x:c>
      <x:c r="M13" s="52" t="str">
        <x:v>Комбинация 4 из исходного файла</x:v>
      </x:c>
    </x:row>
    <x:row r="14">
      <x:c r="A14" s="67" t="str">
        <x:v>CQ-TC-013</x:v>
      </x:c>
      <x:c r="B14" s="54" t="str">
        <x:v>16</x:v>
      </x:c>
      <x:c r="C14" s="54" t="str">
        <x:v>Функциональный / Негативный</x:v>
      </x:c>
      <x:c r="D14" s="54" t="str">
        <x:v>Взаимоисключающий выбор ответа о море</x:v>
      </x:c>
      <x:c r="E14" s="54" t="str">
        <x:v>Высокий</x:v>
      </x:c>
      <x:c r="F14" s="54" t="str">
        <x:v>Страница квиза открыта</x:v>
      </x:c>
      <x:c r="G14" s="54" t="str">
        <x:v>1. Выбрать «Да» в вопросе о море
2. Выбрать «Нет»
3. Проверить состояние обоих вариантов
4. Повторить действия в обратном порядке</x:v>
      </x:c>
      <x:c r="H14" s="54" t="str">
        <x:v>Море: Да / Нет</x:v>
      </x:c>
      <x:c r="I14" s="54" t="str">
        <x:v>При выборе одного варианта второй автоматически снимается.</x:v>
      </x:c>
      <x:c r="J14" s="54" t="str">
        <x:v>Варианты «Да» и «Нет» могут быть выбраны одновременно.</x:v>
      </x:c>
      <x:c r="K14" s="54" t="str">
        <x:v>Не пройден</x:v>
      </x:c>
      <x:c r="L14" s="54" t="str">
        <x:v>CQ-BUG-005</x:v>
      </x:c>
      <x:c r="M14" s="55" t="str"/>
    </x:row>
  </x:sheetData>
  <x:conditionalFormatting sqref="K2:K14">
    <x:cfRule type="expression" dxfId="0" priority="1">
      <x:formula>K2="Пройден"</x:formula>
    </x:cfRule>
    <x:cfRule type="expression" dxfId="1" priority="2">
      <x:formula>K2="Пройден с примечанием"</x:formula>
    </x:cfRule>
    <x:cfRule type="expression" dxfId="2" priority="3">
      <x:formula>K2="Не пройден"</x:formula>
    </x:cfRule>
  </x:conditionalFormatting>
  <x:dataValidations count="2">
    <x:dataValidation type="list" sqref="E2:E14">
      <x:formula1>"Высокий,Средний,Низкий"</x:formula1>
    </x:dataValidation>
    <x:dataValidation type="list" sqref="K2:K14">
      <x:formula1>"Пройден,Пройден с примечанием,Не пройден,Заблокирован,Не выполнен"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57ce491a4843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5" hidden="0" customWidth="1"/>
    <x:col min="3" max="3" width="24" hidden="0" customWidth="1"/>
    <x:col min="4" max="4" width="38" hidden="0" customWidth="1"/>
    <x:col min="5" max="5" width="30" hidden="0" customWidth="1"/>
    <x:col min="6" max="6" width="44" hidden="0" customWidth="1"/>
    <x:col min="7" max="7" width="42" hidden="0" customWidth="1"/>
    <x:col min="8" max="8" width="42" hidden="0" customWidth="1"/>
    <x:col min="9" max="9" width="16" hidden="0" customWidth="1"/>
    <x:col min="10" max="10" width="13" hidden="0" customWidth="1"/>
    <x:col min="11" max="11" width="14" hidden="0" customWidth="1"/>
    <x:col min="12" max="12" width="42" hidden="0" customWidth="1"/>
    <x:col min="13" max="13" width="46" hidden="0" customWidth="1"/>
  </x:cols>
  <x:sheetData>
    <x:row r="1">
      <x:c r="A1" s="26" t="str">
        <x:v>Bug ID</x:v>
      </x:c>
      <x:c r="B1" s="74" t="str">
        <x:v>Заголовок</x:v>
      </x:c>
      <x:c r="C1" s="74" t="str">
        <x:v>Раздел</x:v>
      </x:c>
      <x:c r="D1" s="74" t="str">
        <x:v>Окружение</x:v>
      </x:c>
      <x:c r="E1" s="74" t="str">
        <x:v>Предусловия</x:v>
      </x:c>
      <x:c r="F1" s="74" t="str">
        <x:v>Шаги</x:v>
      </x:c>
      <x:c r="G1" s="74" t="str">
        <x:v>Ожидаемый результат</x:v>
      </x:c>
      <x:c r="H1" s="74" t="str">
        <x:v>Фактический результат</x:v>
      </x:c>
      <x:c r="I1" s="74" t="str">
        <x:v>Критичность</x:v>
      </x:c>
      <x:c r="J1" s="74" t="str">
        <x:v>Приоритет</x:v>
      </x:c>
      <x:c r="K1" s="74" t="str">
        <x:v>Статус</x:v>
      </x:c>
      <x:c r="L1" s="74" t="str">
        <x:v>Связанные тест-кейсы</x:v>
      </x:c>
      <x:c r="M1" s="27" t="str">
        <x:v>Примечание</x:v>
      </x:c>
    </x:row>
    <x:row r="2">
      <x:c r="A2" s="66" t="str">
        <x:v>CQ-BUG-001</x:v>
      </x:c>
      <x:c r="B2" s="44" t="str">
        <x:v>В заголовке квиза допущена орфографическая ошибка</x:v>
      </x:c>
      <x:c r="C2" s="44" t="str">
        <x:v>UI / Контент</x:v>
      </x:c>
      <x:c r="D2" s="44" t="str">
        <x:v>Google Chrome; десктоп 1024 px; ОС и версия приложения не зафиксированы</x:v>
      </x:c>
      <x:c r="E2" s="44" t="str">
        <x:v>Страница квиза доступна</x:v>
      </x:c>
      <x:c r="F2" s="44" t="str">
        <x:v>1. Открыть страницу квиза
2. Проверить основной заголовок</x:v>
      </x:c>
      <x:c r="G2" s="44" t="str">
        <x:v>Заголовок написан без орфографических ошибок.</x:v>
      </x:c>
      <x:c r="H2" s="44" t="str">
        <x:v>В заголовке отображается «ПодАбрать страну».</x:v>
      </x:c>
      <x:c r="I2" s="44" t="str">
        <x:v>Незначительный</x:v>
      </x:c>
      <x:c r="J2" s="44" t="str">
        <x:v>Низкий</x:v>
      </x:c>
      <x:c r="K2" s="44" t="str">
        <x:v>Открыт</x:v>
      </x:c>
      <x:c r="L2" s="44" t="str">
        <x:v>CQ-TC-001</x:v>
      </x:c>
      <x:c r="M2" s="52" t="str">
        <x:v>Исходный баг №1</x:v>
      </x:c>
    </x:row>
    <x:row r="3">
      <x:c r="A3" s="66" t="str">
        <x:v>CQ-BUG-002</x:v>
      </x:c>
      <x:c r="B3" s="44" t="str">
        <x:v>Логика рекомендаций возвращает одинаковый некорректный набор стран для разных ответов</x:v>
      </x:c>
      <x:c r="C3" s="44" t="str">
        <x:v>Основная бизнес-логика</x:v>
      </x:c>
      <x:c r="D3" s="44" t="str">
        <x:v>Google Chrome; ОС и версия приложения не зафиксированы</x:v>
      </x:c>
      <x:c r="E3" s="44" t="str">
        <x:v>Страница квиза доступна</x:v>
      </x:c>
      <x:c r="F3" s="44" t="str">
        <x:v>1. Пройти квиз с любой связанной комбинацией ответов
2. Отправить квиз
3. Сравнить рекомендации с ожидаемой логикой</x:v>
      </x:c>
      <x:c r="G3" s="44" t="str">
        <x:v>Рекомендуемые страны зависят от выбранных ответов об IT, доходе и море.</x:v>
      </x:c>
      <x:c r="H3" s="44" t="str">
        <x:v>Разные комбинации ответов повторно возвращают Португалию и Лондон, иногда с Польшей. Лондон является городом, а не страной.</x:v>
      </x:c>
      <x:c r="I3" s="44" t="str">
        <x:v>Значительный</x:v>
      </x:c>
      <x:c r="J3" s="44" t="str">
        <x:v>Высокий</x:v>
      </x:c>
      <x:c r="K3" s="44" t="str">
        <x:v>Открыт</x:v>
      </x:c>
      <x:c r="L3" s="44" t="str">
        <x:v>CQ-TC-002, CQ-TC-003, CQ-TC-004, CQ-TC-008, CQ-TC-010, CQ-TC-012</x:v>
      </x:c>
      <x:c r="M3" s="52" t="str">
        <x:v>Объединяет исходные баги №2, №3, №4, №6, №7 и №8: они описывают один повторяющийся дефект рекомендаций.</x:v>
      </x:c>
    </x:row>
    <x:row r="4">
      <x:c r="A4" s="66" t="str">
        <x:v>CQ-BUG-003</x:v>
      </x:c>
      <x:c r="B4" s="44" t="str">
        <x:v>Элементы квиза выходят за границы экрана при ширине 320 px</x:v>
      </x:c>
      <x:c r="C4" s="44" t="str">
        <x:v>Адаптивный интерфейс</x:v>
      </x:c>
      <x:c r="D4" s="44" t="str">
        <x:v>Google Chrome DevTools; ширина 320 px; ОС и версия приложения не зафиксированы</x:v>
      </x:c>
      <x:c r="E4" s="44" t="str">
        <x:v>Страница квиза доступна</x:v>
      </x:c>
      <x:c r="F4" s="44" t="str">
        <x:v>1. Включить режим адаптивного экрана
2. Установить ширину 320 px
3. Открыть и пройти квиз
4. Проверить расположение элементов</x:v>
      </x:c>
      <x:c r="G4" s="44" t="str">
        <x:v>Все элементы помещаются в область просмотра и остаются удобными для взаимодействия.</x:v>
      </x:c>
      <x:c r="H4" s="44" t="str">
        <x:v>Плашки с ответами и элементы формы выходят за границы экрана.</x:v>
      </x:c>
      <x:c r="I4" s="44" t="str">
        <x:v>Значительный</x:v>
      </x:c>
      <x:c r="J4" s="44" t="str">
        <x:v>Средний</x:v>
      </x:c>
      <x:c r="K4" s="44" t="str">
        <x:v>Открыт</x:v>
      </x:c>
      <x:c r="L4" s="44" t="str">
        <x:v>CQ-TC-005</x:v>
      </x:c>
      <x:c r="M4" s="52" t="str">
        <x:v>Исходный баг №5</x:v>
      </x:c>
    </x:row>
    <x:row r="5">
      <x:c r="A5" s="66" t="str">
        <x:v>CQ-BUG-004</x:v>
      </x:c>
      <x:c r="B5" s="44" t="str">
        <x:v>Интерактивные элементы не отображают ожидаемый hover-эффект</x:v>
      </x:c>
      <x:c r="C5" s="44" t="str">
        <x:v>UI / UX</x:v>
      </x:c>
      <x:c r="D5" s="44" t="str">
        <x:v>Google Chrome; десктоп; ОС и версия приложения не зафиксированы</x:v>
      </x:c>
      <x:c r="E5" s="44" t="str">
        <x:v>Страница квиза доступна</x:v>
      </x:c>
      <x:c r="F5" s="44" t="str">
        <x:v>1. Навести курсор на варианты ответов и кнопку отправки
2. Проверить изменение курсора и визуального состояния</x:v>
      </x:c>
      <x:c r="G5" s="44" t="str">
        <x:v>Интерактивные элементы явно отображают состояние наведения; кнопка изменяет цвет согласно требованиям.</x:v>
      </x:c>
      <x:c r="H5" s="44" t="str">
        <x:v>Цвет кнопки не меняется; обратная связь при наведении реализована не полностью.</x:v>
      </x:c>
      <x:c r="I5" s="44" t="str">
        <x:v>Незначительный</x:v>
      </x:c>
      <x:c r="J5" s="44" t="str">
        <x:v>Низкий</x:v>
      </x:c>
      <x:c r="K5" s="44" t="str">
        <x:v>Открыт</x:v>
      </x:c>
      <x:c r="L5" s="44" t="str">
        <x:v>CQ-TC-006, CQ-TC-009</x:v>
      </x:c>
      <x:c r="M5" s="52" t="str">
        <x:v>Сформирован по фактическому результату тест-кейсов; в исходном листе не был оформлен отдельным багом.</x:v>
      </x:c>
    </x:row>
    <x:row r="6">
      <x:c r="A6" s="67" t="str">
        <x:v>CQ-BUG-005</x:v>
      </x:c>
      <x:c r="B6" s="54" t="str">
        <x:v>Взаимоисключающие ответы «Да» и «Нет» могут быть выбраны одновременно</x:v>
      </x:c>
      <x:c r="C6" s="54" t="str">
        <x:v>Элементы формы / Логика</x:v>
      </x:c>
      <x:c r="D6" s="54" t="str">
        <x:v>Google Chrome; ОС и версия приложения не зафиксированы</x:v>
      </x:c>
      <x:c r="E6" s="54" t="str">
        <x:v>Страница квиза доступна</x:v>
      </x:c>
      <x:c r="F6" s="54" t="str">
        <x:v>1. Выбрать «Да» в вопросе о море
2. Выбрать «Нет»
3. Проверить оба элемента
4. Повторить в обратном порядке</x:v>
      </x:c>
      <x:c r="G6" s="54" t="str">
        <x:v>Одновременно может быть выбран только один вариант ответа.</x:v>
      </x:c>
      <x:c r="H6" s="54" t="str">
        <x:v>Варианты «Да» и «Нет» остаются выбранными одновременно.</x:v>
      </x:c>
      <x:c r="I6" s="54" t="str">
        <x:v>Значительный</x:v>
      </x:c>
      <x:c r="J6" s="54" t="str">
        <x:v>Высокий</x:v>
      </x:c>
      <x:c r="K6" s="54" t="str">
        <x:v>Открыт</x:v>
      </x:c>
      <x:c r="L6" s="54" t="str">
        <x:v>CQ-TC-013</x:v>
      </x:c>
      <x:c r="M6" s="55" t="str">
        <x:v>Исходный баг №9</x:v>
      </x:c>
    </x:row>
  </x:sheetData>
  <x:conditionalFormatting sqref="I2:I6">
    <x:cfRule type="expression" dxfId="3" priority="1">
      <x:formula>I2="Значительный"</x:formula>
    </x:cfRule>
    <x:cfRule type="expression" dxfId="4" priority="2">
      <x:formula>I2="Незначительный"</x:formula>
    </x:cfRule>
  </x:conditionalFormatting>
  <x:conditionalFormatting sqref="K2:K6">
    <x:cfRule type="expression" dxfId="5" priority="3">
      <x:formula>K2="Открыт"</x:formula>
    </x:cfRule>
  </x:conditionalFormatting>
  <x:dataValidations count="3">
    <x:dataValidation type="list" sqref="I2:I6">
      <x:formula1>"Блокирующий,Критический,Значительный,Незначительный,Тривиальный"</x:formula1>
    </x:dataValidation>
    <x:dataValidation type="list" sqref="J2:J6">
      <x:formula1>"Высокий,Средний,Низкий"</x:formula1>
    </x:dataValidation>
    <x:dataValidation type="list" sqref="K2:K6">
      <x:formula1>"Открыт,В работе,Готов к ретесту,Закрыт"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5797002b8243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24" hidden="0" customWidth="1"/>
    <x:col min="4" max="4" width="22" hidden="0" customWidth="1"/>
    <x:col min="5" max="5" width="48" hidden="0" customWidth="1"/>
  </x:cols>
  <x:sheetData>
    <x:row r="1">
      <x:c r="A1" s="26" t="str">
        <x:v>Требование / Область</x:v>
      </x:c>
      <x:c r="B1" s="74" t="str">
        <x:v>Тест-кейсы</x:v>
      </x:c>
      <x:c r="C1" s="74" t="str">
        <x:v>Bug ID</x:v>
      </x:c>
      <x:c r="D1" s="74" t="str">
        <x:v>Статус</x:v>
      </x:c>
      <x:c r="E1" s="27" t="str">
        <x:v>Комментарий</x:v>
      </x:c>
    </x:row>
    <x:row r="2">
      <x:c r="A2" s="66" t="str">
        <x:v>Отображение и контент квиза</x:v>
      </x:c>
      <x:c r="B2" s="44" t="str">
        <x:v>CQ-TC-001</x:v>
      </x:c>
      <x:c r="C2" s="44" t="str">
        <x:v>CQ-BUG-001</x:v>
      </x:c>
      <x:c r="D2" s="44" t="str">
        <x:v>Не пройден</x:v>
      </x:c>
      <x:c r="E2" s="52" t="str">
        <x:v>Орфографическая ошибка в заголовке</x:v>
      </x:c>
    </x:row>
    <x:row r="3">
      <x:c r="A3" s="66" t="str">
        <x:v>Логика рекомендаций</x:v>
      </x:c>
      <x:c r="B3" s="44" t="str">
        <x:v>CQ-TC-002, CQ-TC-003, CQ-TC-004, CQ-TC-008, CQ-TC-010, CQ-TC-012</x:v>
      </x:c>
      <x:c r="C3" s="44" t="str">
        <x:v>CQ-BUG-002</x:v>
      </x:c>
      <x:c r="D3" s="44" t="str">
        <x:v>Не пройден</x:v>
      </x:c>
      <x:c r="E3" s="52" t="str">
        <x:v>Несколько комбинаций связаны с одним корневым дефектом</x:v>
      </x:c>
    </x:row>
    <x:row r="4">
      <x:c r="A4" s="66" t="str">
        <x:v>Адаптивность</x:v>
      </x:c>
      <x:c r="B4" s="44" t="str">
        <x:v>CQ-TC-005</x:v>
      </x:c>
      <x:c r="C4" s="44" t="str">
        <x:v>CQ-BUG-003</x:v>
      </x:c>
      <x:c r="D4" s="44" t="str">
        <x:v>Не пройден</x:v>
      </x:c>
      <x:c r="E4" s="52" t="str">
        <x:v>Проверено при ширине 320 px</x:v>
      </x:c>
    </x:row>
    <x:row r="5">
      <x:c r="A5" s="66" t="str">
        <x:v>Клавиатурная доступность</x:v>
      </x:c>
      <x:c r="B5" s="44" t="str">
        <x:v>CQ-TC-006</x:v>
      </x:c>
      <x:c r="C5" s="44" t="str">
        <x:v>CQ-BUG-004</x:v>
      </x:c>
      <x:c r="D5" s="44" t="str">
        <x:v>Пройден с примечанием</x:v>
      </x:c>
      <x:c r="E5" s="52" t="str">
        <x:v>Навигация работает; hover-проблема отслеживается отдельно</x:v>
      </x:c>
    </x:row>
    <x:row r="6">
      <x:c r="A6" s="66" t="str">
        <x:v>Успешная отправка</x:v>
      </x:c>
      <x:c r="B6" s="44" t="str">
        <x:v>CQ-TC-007</x:v>
      </x:c>
      <x:c r="C6" s="44" t="str"/>
      <x:c r="D6" s="44" t="str">
        <x:v>Пройден</x:v>
      </x:c>
      <x:c r="E6" s="52" t="str">
        <x:v>После отправки отображается результат</x:v>
      </x:c>
    </x:row>
    <x:row r="7">
      <x:c r="A7" s="66" t="str">
        <x:v>Hover-эффекты</x:v>
      </x:c>
      <x:c r="B7" s="44" t="str">
        <x:v>CQ-TC-009</x:v>
      </x:c>
      <x:c r="C7" s="44" t="str">
        <x:v>CQ-BUG-004</x:v>
      </x:c>
      <x:c r="D7" s="44" t="str">
        <x:v>Не пройден</x:v>
      </x:c>
      <x:c r="E7" s="52" t="str">
        <x:v>В исходном файле статус был указан некорректно</x:v>
      </x:c>
    </x:row>
    <x:row r="8">
      <x:c r="A8" s="66" t="str">
        <x:v>Навигация к квизу</x:v>
      </x:c>
      <x:c r="B8" s="44" t="str">
        <x:v>CQ-TC-011</x:v>
      </x:c>
      <x:c r="C8" s="44" t="str"/>
      <x:c r="D8" s="44" t="str">
        <x:v>Пройден с примечанием</x:v>
      </x:c>
      <x:c r="E8" s="52" t="str">
        <x:v>Состав меню требует отдельного требования</x:v>
      </x:c>
    </x:row>
    <x:row r="9">
      <x:c r="A9" s="67" t="str">
        <x:v>Взаимоисключающий выбор</x:v>
      </x:c>
      <x:c r="B9" s="54" t="str">
        <x:v>CQ-TC-013</x:v>
      </x:c>
      <x:c r="C9" s="54" t="str">
        <x:v>CQ-BUG-005</x:v>
      </x:c>
      <x:c r="D9" s="54" t="str">
        <x:v>Не пройден</x:v>
      </x:c>
      <x:c r="E9" s="55" t="str">
        <x:v>Одновременно выбираются «Да» и «Нет»</x:v>
      </x:c>
    </x:row>
  </x:sheetData>
  <x:conditionalFormatting sqref="D2:D9">
    <x:cfRule type="expression" dxfId="6" priority="1">
      <x:formula>D2="Пройден"</x:formula>
    </x:cfRule>
    <x:cfRule type="expression" dxfId="7" priority="2">
      <x:formula>D2="Пройден с примечанием"</x:formula>
    </x:cfRule>
    <x:cfRule type="expression" dxfId="8" priority="3">
      <x:formula>D2="Не пройден"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45bc07608f4b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7" hidden="0" customWidth="1"/>
    <x:col min="5" max="5" width="22" hidden="0" customWidth="1"/>
    <x:col min="6" max="6" width="48" hidden="0" customWidth="1"/>
  </x:cols>
  <x:sheetData>
    <x:row r="1">
      <x:c r="A1" s="26" t="str">
        <x:v>ID окружения</x:v>
      </x:c>
      <x:c r="B1" s="74" t="str">
        <x:v>Браузер / Инструмент</x:v>
      </x:c>
      <x:c r="C1" s="74" t="str">
        <x:v>Режим</x:v>
      </x:c>
      <x:c r="D1" s="74" t="str">
        <x:v>Размер экрана</x:v>
      </x:c>
      <x:c r="E1" s="74" t="str">
        <x:v>ОС / Версия</x:v>
      </x:c>
      <x:c r="F1" s="27" t="str">
        <x:v>Область проверки</x:v>
      </x:c>
    </x:row>
    <x:row r="2">
      <x:c r="A2" s="66" t="str">
        <x:v>ENV-01</x:v>
      </x:c>
      <x:c r="B2" s="44" t="str">
        <x:v>Google Chrome</x:v>
      </x:c>
      <x:c r="C2" s="44" t="str">
        <x:v>Десктоп</x:v>
      </x:c>
      <x:c r="D2" s="44" t="str">
        <x:v>1024 px</x:v>
      </x:c>
      <x:c r="E2" s="44" t="str">
        <x:v>Не зафиксировано</x:v>
      </x:c>
      <x:c r="F2" s="52" t="str">
        <x:v>UI, функциональные проверки, рекомендации и навигация</x:v>
      </x:c>
    </x:row>
    <x:row r="3">
      <x:c r="A3" s="67" t="str">
        <x:v>ENV-02</x:v>
      </x:c>
      <x:c r="B3" s="54" t="str">
        <x:v>Google Chrome DevTools</x:v>
      </x:c>
      <x:c r="C3" s="54" t="str">
        <x:v>Адаптивный режим</x:v>
      </x:c>
      <x:c r="D3" s="54" t="str">
        <x:v>320 px</x:v>
      </x:c>
      <x:c r="E3" s="54" t="str">
        <x:v>Не зафиксировано</x:v>
      </x:c>
      <x:c r="F3" s="55" t="str">
        <x:v>Проверка адаптивности</x:v>
      </x:c>
    </x:row>
    <x:row r="5">
      <x:c r="A5" s="40" t="str">
        <x:v>Ограничения и допущения</x:v>
      </x:c>
      <x:c r="B5" s="40"/>
      <x:c r="C5" s="40"/>
      <x:c r="D5" s="40"/>
      <x:c r="E5" s="40"/>
      <x:c r="F5" s="40"/>
    </x:row>
    <x:row r="6">
      <x:c r="A6" s="48" t="str">
        <x:v>Версия приложения</x:v>
      </x:c>
      <x:c r="B6" s="49" t="str">
        <x:v>Не зафиксирована в исходной таблице.</x:v>
      </x:c>
      <x:c r="C6" s="49"/>
      <x:c r="D6" s="49"/>
      <x:c r="E6" s="49"/>
      <x:c r="F6" s="50"/>
    </x:row>
    <x:row r="7">
      <x:c r="A7" s="51" t="str">
        <x:v>Дата выполнения</x:v>
      </x:c>
      <x:c r="B7" s="44" t="str">
        <x:v>Не зафиксирована в исходной таблице.</x:v>
      </x:c>
      <x:c r="C7" s="44"/>
      <x:c r="D7" s="44"/>
      <x:c r="E7" s="44"/>
      <x:c r="F7" s="52"/>
    </x:row>
    <x:row r="8">
      <x:c r="A8" s="51" t="str">
        <x:v>Операционная система</x:v>
      </x:c>
      <x:c r="B8" s="44" t="str">
        <x:v>Не зафиксирована в исходной таблице.</x:v>
      </x:c>
      <x:c r="C8" s="44"/>
      <x:c r="D8" s="44"/>
      <x:c r="E8" s="44"/>
      <x:c r="F8" s="52"/>
    </x:row>
    <x:row r="9">
      <x:c r="A9" s="51" t="str">
        <x:v>Требования</x:v>
      </x:c>
      <x:c r="B9" s="44" t="str">
        <x:v>Ожидаемые рекомендации и UI-поведение основаны на исходной тестовой документации.</x:v>
      </x:c>
      <x:c r="C9" s="44"/>
      <x:c r="D9" s="44"/>
      <x:c r="E9" s="44"/>
      <x:c r="F9" s="52"/>
    </x:row>
    <x:row r="10">
      <x:c r="A10" s="51" t="str">
        <x:v>Доказательства</x:v>
      </x:c>
      <x:c r="B10" s="44" t="str">
        <x:v>Встроенные изображения исходника не включены в публичную копию до отдельной проверки безопасности.</x:v>
      </x:c>
      <x:c r="C10" s="44"/>
      <x:c r="D10" s="44"/>
      <x:c r="E10" s="44"/>
      <x:c r="F10" s="52"/>
    </x:row>
    <x:row r="11">
      <x:c r="A11" s="53" t="str">
        <x:v>Учебная страница</x:v>
      </x:c>
      <x:c r="B11" s="54" t="str">
        <x:v>URL из исходника может измениться или стать недоступным после первоначального тестирования.</x:v>
      </x:c>
      <x:c r="C11" s="54"/>
      <x:c r="D11" s="54"/>
      <x:c r="E11" s="54"/>
      <x:c r="F11" s="55"/>
    </x:row>
  </x:sheetData>
  <x:mergeCells>
    <x:mergeCell ref="A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  <x:tableParts count="1">
    <x:tablePart xmlns:r="http://schemas.openxmlformats.org/officeDocument/2006/relationships" r:id="R9173bb38626b445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48" hidden="0" customWidth="1"/>
    <x:col min="4" max="4" width="54" hidden="0" customWidth="1"/>
  </x:cols>
  <x:sheetData>
    <x:row r="1">
      <x:c r="A1" s="26" t="str">
        <x:v>№</x:v>
      </x:c>
      <x:c r="B1" s="74" t="str">
        <x:v>Что исправлено</x:v>
      </x:c>
      <x:c r="C1" s="74" t="str">
        <x:v>Причина</x:v>
      </x:c>
      <x:c r="D1" s="27" t="str">
        <x:v>Результат</x:v>
      </x:c>
    </x:row>
    <x:row r="2">
      <x:c r="A2" s="66" t="str">
        <x:v>1</x:v>
      </x:c>
      <x:c r="B2" s="44" t="str">
        <x:v>Перенумерованы публичные тест-кейсы</x:v>
      </x:c>
      <x:c r="C2" s="44" t="str">
        <x:v>В исходных ID были пропуски.</x:v>
      </x:c>
      <x:c r="D2" s="52" t="str">
        <x:v>Публичные ID идут от CQ-TC-001 до CQ-TC-013; исходные ID сохранены отдельно.</x:v>
      </x:c>
    </x:row>
    <x:row r="3">
      <x:c r="A3" s="66" t="str">
        <x:v>2</x:v>
      </x:c>
      <x:c r="B3" s="44" t="str">
        <x:v>Объединены повторяющиеся баг-репорты</x:v>
      </x:c>
      <x:c r="C3" s="44" t="str">
        <x:v>Шесть строк описывали один дефект рекомендаций с разными входными данными.</x:v>
      </x:c>
      <x:c r="D3" s="52" t="str">
        <x:v>Один корневой баг связан со всеми затронутыми тест-кейсами.</x:v>
      </x:c>
    </x:row>
    <x:row r="4">
      <x:c r="A4" s="66" t="str">
        <x:v>3</x:v>
      </x:c>
      <x:c r="B4" s="44" t="str">
        <x:v>Исправлен противоречивый статус</x:v>
      </x:c>
      <x:c r="C4" s="44" t="str">
        <x:v>Hover-тест был отмечен как Passed, хотя фактический результат описывал ошибку.</x:v>
      </x:c>
      <x:c r="D4" s="52" t="str">
        <x:v>Статус изменён на «Не пройден».</x:v>
      </x:c>
    </x:row>
    <x:row r="5">
      <x:c r="A5" s="66" t="str">
        <x:v>4</x:v>
      </x:c>
      <x:c r="B5" s="44" t="str">
        <x:v>Скорректирована критичность</x:v>
      </x:c>
      <x:c r="C5" s="44" t="str">
        <x:v>Для дефекта рекомендаций стоял Critical, но не зафиксированы падение, потеря данных или полная недоступность.</x:v>
      </x:c>
      <x:c r="D5" s="52" t="str">
        <x:v>Установлена критичность «Значительный», приоритет «Высокий».</x:v>
      </x:c>
    </x:row>
    <x:row r="6">
      <x:c r="A6" s="66" t="str">
        <x:v>5</x:v>
      </x:c>
      <x:c r="B6" s="44" t="str">
        <x:v>Разделён результат теста и отдельное наблюдение</x:v>
      </x:c>
      <x:c r="C6" s="44" t="str">
        <x:v>Клавиатурная навигация работала, а hover относился к другой проверке.</x:v>
      </x:c>
      <x:c r="D6" s="52" t="str">
        <x:v>Тест отмечен как «Пройден с примечанием», hover связан с отдельным багом.</x:v>
      </x:c>
    </x:row>
    <x:row r="7">
      <x:c r="A7" s="66" t="str">
        <x:v>6</x:v>
      </x:c>
      <x:c r="B7" s="44" t="str">
        <x:v>Унифицированы формулировки</x:v>
      </x:c>
      <x:c r="C7" s="44" t="str">
        <x:v>В исходнике были опечатки, лишние пробелы и несогласованные названия.</x:v>
      </x:c>
      <x:c r="D7" s="52" t="str">
        <x:v>Шаги, результаты, статусы, критичность и приоритет приведены к единому виду.</x:v>
      </x:c>
    </x:row>
    <x:row r="8">
      <x:c r="A8" s="67" t="str">
        <x:v>7</x:v>
      </x:c>
      <x:c r="B8" s="54" t="str">
        <x:v>Удалены встроенные изображения исходника</x:v>
      </x:c>
      <x:c r="C8" s="54" t="str">
        <x:v>Безопасность и контекст публикации изображений не были подтверждены.</x:v>
      </x:c>
      <x:c r="D8" s="55" t="str">
        <x:v>В публичной копии изображения не размещены; evidence можно добавить после отдельной проверки.</x:v>
      </x:c>
    </x:row>
  </x:sheetData>
  <x:pageMargins left="0.7" right="0.7" top="0.75" bottom="0.75" header="0.3" footer="0.3"/>
  <x:tableParts count="1">
    <x:tablePart xmlns:r="http://schemas.openxmlformats.org/officeDocument/2006/relationships" r:id="Rdc6af3b74c4f4041"/>
  </x:tableParts>
</x:worksheet>
</file>